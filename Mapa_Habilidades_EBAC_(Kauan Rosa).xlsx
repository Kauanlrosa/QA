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Autoavaliação" sheetId="1" r:id="rId1"/>
    <sheet name="PDI -5w2h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<sst xmlns="http://schemas.openxmlformats.org/spreadsheetml/2006/main" count="117" uniqueCount="102">
  <si>
    <t xml:space="preserve">Nome: </t>
  </si>
  <si>
    <t>Kauan de Jesus Anjos Lima da Rosa</t>
  </si>
  <si>
    <t>Data:27.03.2025</t>
  </si>
  <si>
    <t>MAPA DE HABILIDADES - Qualidade de software</t>
  </si>
  <si>
    <t xml:space="preserve">&lt;&lt; Preencha </t>
  </si>
  <si>
    <t>Média</t>
  </si>
  <si>
    <t>Régua</t>
  </si>
  <si>
    <t>Hard skill</t>
  </si>
  <si>
    <t>Técnicas de testes (caixa branca, caixa preta)</t>
  </si>
  <si>
    <t>Estratégia de teste</t>
  </si>
  <si>
    <t>Gerenciamento e Plano de testes</t>
  </si>
  <si>
    <t>Testes baseados em risco</t>
  </si>
  <si>
    <t xml:space="preserve">Metodologias Ágeis ( Kanban /Scrum) </t>
  </si>
  <si>
    <t xml:space="preserve">História de usuário </t>
  </si>
  <si>
    <t>Critérios de aceitação</t>
  </si>
  <si>
    <t>Gherkin - BDD</t>
  </si>
  <si>
    <t>Métricas de testes</t>
  </si>
  <si>
    <t xml:space="preserve">Ferramentas de gerenciamento de testes </t>
  </si>
  <si>
    <t>Lógica de programação</t>
  </si>
  <si>
    <t>Automação Frontend - WEB</t>
  </si>
  <si>
    <t>Automação Backend -API</t>
  </si>
  <si>
    <t>Automação Mobile</t>
  </si>
  <si>
    <t>Testes de performance (Jmeter)</t>
  </si>
  <si>
    <t xml:space="preserve">Banco de dados </t>
  </si>
  <si>
    <t>Source control (Git)</t>
  </si>
  <si>
    <t>Orquestrador (Jenkins, Gitlab, GoCd, etc)</t>
  </si>
  <si>
    <t>Cultura DevOps</t>
  </si>
  <si>
    <t>Soft skill</t>
  </si>
  <si>
    <t xml:space="preserve">Sociabilidade </t>
  </si>
  <si>
    <t>Organização</t>
  </si>
  <si>
    <t>Autodidata</t>
  </si>
  <si>
    <t>Próatividade</t>
  </si>
  <si>
    <t>Resiliência</t>
  </si>
  <si>
    <t>Legenda</t>
  </si>
  <si>
    <t>Questionador</t>
  </si>
  <si>
    <t>1. Não sei</t>
  </si>
  <si>
    <t>2. Sei pouco</t>
  </si>
  <si>
    <t>3. Sei o suficiente</t>
  </si>
  <si>
    <t>4. Sei bem</t>
  </si>
  <si>
    <t>Planejamento estratégico</t>
  </si>
  <si>
    <t>Comunicação</t>
  </si>
  <si>
    <t>Colaboração (time)</t>
  </si>
  <si>
    <t>Flexibilidade</t>
  </si>
  <si>
    <t>Ética</t>
  </si>
  <si>
    <t>Desinibição</t>
  </si>
  <si>
    <t>Liderança</t>
  </si>
  <si>
    <t>Média do profissional</t>
  </si>
  <si>
    <t>---</t>
  </si>
  <si>
    <t>Plano de ação - 5w2h</t>
  </si>
  <si>
    <t>item</t>
  </si>
  <si>
    <t>O quê (What)?</t>
  </si>
  <si>
    <t>Por que (Why)?</t>
  </si>
  <si>
    <t xml:space="preserve">Onde (Where)? </t>
  </si>
  <si>
    <t>Quando (When)?</t>
  </si>
  <si>
    <t>Quem(Who)?</t>
  </si>
  <si>
    <t>Como (How)?</t>
  </si>
  <si>
    <t>Quanto custa (How Much)?</t>
  </si>
  <si>
    <t>Inicio</t>
  </si>
  <si>
    <t>Fim</t>
  </si>
  <si>
    <t>lógica de programação</t>
  </si>
  <si>
    <t>ter uma boa base para continuar meus estudos</t>
  </si>
  <si>
    <t>em casa, durante 1 hora por dia</t>
  </si>
  <si>
    <t>eu mesmo</t>
  </si>
  <si>
    <t>com o curso de lógica de programação da ebac</t>
  </si>
  <si>
    <t>banco de dados</t>
  </si>
  <si>
    <t>Focar em melhorar esse ponto, acredito que seja um lado positivo e necessário quando se trata de uma área tão ampla como Engenharia de Qualidade de Software.</t>
  </si>
  <si>
    <t>em casa, durante 30 minutos por dia</t>
  </si>
  <si>
    <t>pesquisando na internet sobre e estudando com livros e outros métodos que estão livres pela web.</t>
  </si>
  <si>
    <t>liderança</t>
  </si>
  <si>
    <t>Considero algo essencial quando se trata de uma softskill, necessário em casos de oportunidades e necessidades de qualquer empresa.</t>
  </si>
  <si>
    <t>em casa, durante 15 minutos por dia.</t>
  </si>
  <si>
    <t>pesquisando na internet, vendo vídeos, livros, coisas que considero relevantes para alavacar esse lado de liderança.</t>
  </si>
  <si>
    <t>planejamento estratégico</t>
  </si>
  <si>
    <t>Saber por onde começar, como começar e onde chegar é a idealização de qualquer função que possa realizar, acredito que tendo isso aprimorado será um grande diferencial.</t>
  </si>
  <si>
    <t>em casa durante 15 minutos por dia.</t>
  </si>
  <si>
    <t>pesquisando na internet, vendo vídeos, livros, coisas que considero relevantes para alavacar esse lado de planejamento estratégico.</t>
  </si>
  <si>
    <t>Descrição:</t>
  </si>
  <si>
    <t xml:space="preserve"> </t>
  </si>
  <si>
    <t>What</t>
  </si>
  <si>
    <t xml:space="preserve">O que será feito? Coloque o item mapeado na autoavaliação; </t>
  </si>
  <si>
    <t>Why</t>
  </si>
  <si>
    <t>Por que será feito? (justificativa) – solicita que o executor do plano de ação justifique a necessidade da atividade para se alcançar o objetivo definido</t>
  </si>
  <si>
    <t>Where</t>
  </si>
  <si>
    <t>Onde será feito? (local) – Onde serão executadas as tarefas para a concretização do plano;</t>
  </si>
  <si>
    <t>When</t>
  </si>
  <si>
    <t>Quando será feito? determine um período para finalização de todas as ações, de modo a garantir que elas sejam executadas no prazo estipulado para atingir o objetivo;</t>
  </si>
  <si>
    <t>Who</t>
  </si>
  <si>
    <t xml:space="preserve">Por quem será feito? Neste caso o plano de ação é para você mesmo, portanto coloque seu nome, a não ser que a sua tarefa dependa de outra pessoa. </t>
  </si>
  <si>
    <t>How</t>
  </si>
  <si>
    <t>Como será feito? definir os métodos que serão necessários para execução de cada etapa proposta no plano de ação.</t>
  </si>
  <si>
    <t>How Much</t>
  </si>
  <si>
    <t>Quanto o custará? determinar o valor do investimento necessário para executar as etapas exigidas, o que inclui recursos financeiros e humanos.</t>
  </si>
  <si>
    <t>Exemplo:</t>
  </si>
  <si>
    <t>Exercícios físicos</t>
  </si>
  <si>
    <t>Aumentar metabolismo e diminuir o sedentarismo, pois me sinto cansado durante o Home Office.</t>
  </si>
  <si>
    <t>Em casa e uma vez por semana na rua</t>
  </si>
  <si>
    <t>Com o App da Adidas Fit, durante 30 minutos de segunda a sexta-feira.</t>
  </si>
  <si>
    <t>Sugestões</t>
  </si>
  <si>
    <t>Coloque suas tarefas no Trello</t>
  </si>
  <si>
    <t>Não execeda o seu limite</t>
  </si>
  <si>
    <t>Aprenda com o primeiro período e refaça o plano depois de 2 semanas</t>
  </si>
  <si>
    <t>Crie uma planilha (aba) para cada grande objetivo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</si>
</sst>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"/>
    <numFmt numFmtId="181" formatCode="0.0"/>
  </numFmts>
  <fonts count="4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26"/>
      <color theme="7"/>
      <name val="Arial"/>
      <charset val="134"/>
    </font>
    <font>
      <b/>
      <sz val="12"/>
      <color theme="7" tint="-0.499984740745262"/>
      <name val="Arial"/>
      <charset val="134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sz val="12"/>
      <color rgb="FF3C4043"/>
      <name val="Roboto"/>
      <charset val="134"/>
    </font>
    <font>
      <b/>
      <sz val="12"/>
      <color rgb="FF806000"/>
      <name val="Arial"/>
      <charset val="134"/>
    </font>
    <font>
      <sz val="12"/>
      <color rgb="FF000000"/>
      <name val="Arial"/>
      <charset val="134"/>
    </font>
    <font>
      <b/>
      <sz val="12"/>
      <color rgb="FF000000"/>
      <name val="Arial"/>
      <charset val="134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7"/>
      <name val="MS Reference Sans Serif"/>
      <charset val="134"/>
    </font>
    <font>
      <b/>
      <sz val="18"/>
      <color theme="8"/>
      <name val="MS Reference Sans Serif"/>
      <charset val="134"/>
    </font>
    <font>
      <sz val="14"/>
      <color theme="1"/>
      <name val="MS Reference Sans Serif"/>
      <charset val="134"/>
    </font>
    <font>
      <b/>
      <sz val="11"/>
      <color theme="7" tint="-0.249977111117893"/>
      <name val="Calibri"/>
      <charset val="134"/>
      <scheme val="minor"/>
    </font>
    <font>
      <sz val="2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7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179" fontId="17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10" borderId="12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1" borderId="15" applyNumberFormat="0" applyAlignment="0" applyProtection="0">
      <alignment vertical="center"/>
    </xf>
    <xf numFmtId="0" fontId="31" fillId="12" borderId="16" applyNumberFormat="0" applyAlignment="0" applyProtection="0">
      <alignment vertical="center"/>
    </xf>
    <xf numFmtId="0" fontId="32" fillId="12" borderId="15" applyNumberFormat="0" applyAlignment="0" applyProtection="0">
      <alignment vertical="center"/>
    </xf>
    <xf numFmtId="0" fontId="33" fillId="13" borderId="17" applyNumberFormat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</cellStyleXfs>
  <cellXfs count="6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top"/>
    </xf>
    <xf numFmtId="0" fontId="5" fillId="0" borderId="4" xfId="0" applyFont="1" applyBorder="1"/>
    <xf numFmtId="0" fontId="5" fillId="0" borderId="4" xfId="0" applyFont="1" applyBorder="1" applyAlignment="1">
      <alignment vertical="top" wrapText="1"/>
    </xf>
    <xf numFmtId="58" fontId="5" fillId="0" borderId="4" xfId="0" applyNumberFormat="1" applyFont="1" applyBorder="1" applyAlignment="1">
      <alignment horizontal="left" vertical="top"/>
    </xf>
    <xf numFmtId="0" fontId="5" fillId="0" borderId="0" xfId="0" applyFont="1"/>
    <xf numFmtId="0" fontId="4" fillId="2" borderId="4" xfId="0" applyFont="1" applyFill="1" applyBorder="1"/>
    <xf numFmtId="0" fontId="4" fillId="3" borderId="4" xfId="0" applyFont="1" applyFill="1" applyBorder="1"/>
    <xf numFmtId="0" fontId="6" fillId="0" borderId="4" xfId="0" applyFont="1" applyBorder="1" applyAlignment="1">
      <alignment horizontal="left"/>
    </xf>
    <xf numFmtId="0" fontId="7" fillId="4" borderId="4" xfId="0" applyFont="1" applyFill="1" applyBorder="1"/>
    <xf numFmtId="0" fontId="8" fillId="4" borderId="2" xfId="0" applyFont="1" applyFill="1" applyBorder="1" applyAlignment="1">
      <alignment horizontal="left"/>
    </xf>
    <xf numFmtId="0" fontId="8" fillId="4" borderId="3" xfId="0" applyFont="1" applyFill="1" applyBorder="1" applyAlignment="1">
      <alignment horizontal="left"/>
    </xf>
    <xf numFmtId="0" fontId="9" fillId="5" borderId="5" xfId="0" applyFont="1" applyFill="1" applyBorder="1" applyAlignment="1">
      <alignment horizontal="center" vertical="top"/>
    </xf>
    <xf numFmtId="0" fontId="9" fillId="5" borderId="2" xfId="0" applyFont="1" applyFill="1" applyBorder="1" applyAlignment="1">
      <alignment horizontal="center" vertical="top"/>
    </xf>
    <xf numFmtId="0" fontId="9" fillId="5" borderId="6" xfId="0" applyFont="1" applyFill="1" applyBorder="1" applyAlignment="1">
      <alignment horizontal="center" vertical="top"/>
    </xf>
    <xf numFmtId="0" fontId="9" fillId="5" borderId="7" xfId="0" applyFont="1" applyFill="1" applyBorder="1" applyAlignment="1">
      <alignment horizontal="center" vertical="top"/>
    </xf>
    <xf numFmtId="0" fontId="9" fillId="5" borderId="8" xfId="0" applyFont="1" applyFill="1" applyBorder="1" applyAlignment="1">
      <alignment horizontal="center" vertical="top"/>
    </xf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 wrapText="1"/>
    </xf>
    <xf numFmtId="58" fontId="8" fillId="0" borderId="8" xfId="0" applyNumberFormat="1" applyFont="1" applyBorder="1" applyAlignment="1">
      <alignment horizontal="left" vertical="top"/>
    </xf>
    <xf numFmtId="0" fontId="4" fillId="2" borderId="5" xfId="0" applyFont="1" applyFill="1" applyBorder="1"/>
    <xf numFmtId="0" fontId="2" fillId="0" borderId="8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top" wrapText="1"/>
    </xf>
    <xf numFmtId="180" fontId="5" fillId="0" borderId="4" xfId="0" applyNumberFormat="1" applyFont="1" applyBorder="1" applyAlignment="1">
      <alignment horizontal="left" vertical="top"/>
    </xf>
    <xf numFmtId="0" fontId="8" fillId="4" borderId="6" xfId="0" applyFont="1" applyFill="1" applyBorder="1" applyAlignment="1">
      <alignment horizontal="left"/>
    </xf>
    <xf numFmtId="0" fontId="9" fillId="5" borderId="5" xfId="0" applyFont="1" applyFill="1" applyBorder="1" applyAlignment="1">
      <alignment horizontal="center" vertical="top" wrapText="1"/>
    </xf>
    <xf numFmtId="0" fontId="9" fillId="5" borderId="7" xfId="0" applyFont="1" applyFill="1" applyBorder="1" applyAlignment="1">
      <alignment horizontal="center" vertical="top" wrapText="1"/>
    </xf>
    <xf numFmtId="180" fontId="8" fillId="0" borderId="8" xfId="0" applyNumberFormat="1" applyFont="1" applyBorder="1" applyAlignment="1">
      <alignment horizontal="left" vertical="top"/>
    </xf>
    <xf numFmtId="0" fontId="0" fillId="0" borderId="0" xfId="0" applyFont="1" applyAlignment="1"/>
    <xf numFmtId="0" fontId="0" fillId="0" borderId="0" xfId="0" applyFont="1" applyAlignment="1">
      <alignment vertical="center"/>
    </xf>
    <xf numFmtId="0" fontId="10" fillId="0" borderId="4" xfId="0" applyFont="1" applyFill="1" applyBorder="1" applyAlignment="1">
      <alignment horizontal="right" vertical="center"/>
    </xf>
    <xf numFmtId="0" fontId="0" fillId="0" borderId="4" xfId="0" applyFont="1" applyFill="1" applyBorder="1" applyAlignment="1" applyProtection="1">
      <alignment vertical="center"/>
      <protection locked="0"/>
    </xf>
    <xf numFmtId="0" fontId="11" fillId="0" borderId="4" xfId="0" applyFont="1" applyFill="1" applyBorder="1" applyAlignment="1" applyProtection="1">
      <alignment vertical="center"/>
      <protection locked="0"/>
    </xf>
    <xf numFmtId="0" fontId="0" fillId="0" borderId="2" xfId="0" applyFont="1" applyFill="1" applyBorder="1" applyAlignment="1" applyProtection="1">
      <alignment horizontal="center" vertical="center"/>
      <protection locked="0"/>
    </xf>
    <xf numFmtId="0" fontId="0" fillId="0" borderId="3" xfId="0" applyFont="1" applyFill="1" applyBorder="1" applyAlignment="1" applyProtection="1">
      <alignment horizontal="center" vertical="center"/>
      <protection locked="0"/>
    </xf>
    <xf numFmtId="0" fontId="0" fillId="0" borderId="6" xfId="0" applyFont="1" applyFill="1" applyBorder="1" applyAlignment="1" applyProtection="1">
      <alignment horizontal="center" vertical="center"/>
      <protection locked="0"/>
    </xf>
    <xf numFmtId="0" fontId="12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4" fillId="0" borderId="0" xfId="0" applyFont="1" applyBorder="1" applyAlignment="1">
      <alignment horizontal="left" vertical="center"/>
    </xf>
    <xf numFmtId="0" fontId="0" fillId="0" borderId="2" xfId="0" applyFont="1" applyBorder="1" applyAlignment="1"/>
    <xf numFmtId="0" fontId="0" fillId="0" borderId="9" xfId="0" applyBorder="1"/>
    <xf numFmtId="0" fontId="15" fillId="6" borderId="4" xfId="0" applyFont="1" applyFill="1" applyBorder="1" applyAlignment="1">
      <alignment horizontal="center" textRotation="90"/>
    </xf>
    <xf numFmtId="0" fontId="11" fillId="7" borderId="4" xfId="0" applyFont="1" applyFill="1" applyBorder="1" applyAlignment="1">
      <alignment horizontal="center" textRotation="90"/>
    </xf>
    <xf numFmtId="0" fontId="0" fillId="0" borderId="0" xfId="0" applyFont="1" applyAlignment="1">
      <alignment textRotation="90"/>
    </xf>
    <xf numFmtId="0" fontId="16" fillId="8" borderId="4" xfId="0" applyFont="1" applyFill="1" applyBorder="1" applyAlignment="1">
      <alignment horizontal="center" vertical="center" textRotation="90"/>
    </xf>
    <xf numFmtId="0" fontId="17" fillId="8" borderId="3" xfId="0" applyFont="1" applyFill="1" applyBorder="1" applyAlignment="1" applyProtection="1">
      <alignment vertical="center"/>
      <protection locked="0"/>
    </xf>
    <xf numFmtId="0" fontId="18" fillId="0" borderId="4" xfId="0" applyFont="1" applyBorder="1" applyAlignment="1" applyProtection="1">
      <alignment horizontal="center" vertical="center"/>
      <protection locked="0"/>
    </xf>
    <xf numFmtId="0" fontId="19" fillId="7" borderId="4" xfId="0" applyFont="1" applyFill="1" applyBorder="1" applyAlignment="1" applyProtection="1">
      <alignment horizontal="center" vertical="center"/>
    </xf>
    <xf numFmtId="0" fontId="17" fillId="8" borderId="4" xfId="0" applyFont="1" applyFill="1" applyBorder="1" applyAlignment="1" applyProtection="1">
      <alignment vertical="center"/>
      <protection locked="0"/>
    </xf>
    <xf numFmtId="0" fontId="17" fillId="8" borderId="1" xfId="0" applyFont="1" applyFill="1" applyBorder="1" applyAlignment="1" applyProtection="1">
      <alignment vertical="center"/>
      <protection locked="0"/>
    </xf>
    <xf numFmtId="0" fontId="16" fillId="9" borderId="4" xfId="0" applyFont="1" applyFill="1" applyBorder="1" applyAlignment="1">
      <alignment horizontal="center" vertical="center" textRotation="90"/>
    </xf>
    <xf numFmtId="0" fontId="17" fillId="9" borderId="3" xfId="0" applyFont="1" applyFill="1" applyBorder="1" applyAlignment="1" applyProtection="1">
      <alignment vertical="center"/>
      <protection locked="0"/>
    </xf>
    <xf numFmtId="0" fontId="19" fillId="7" borderId="4" xfId="0" applyFont="1" applyFill="1" applyBorder="1" applyAlignment="1">
      <alignment horizontal="center" vertical="center"/>
    </xf>
    <xf numFmtId="0" fontId="20" fillId="9" borderId="10" xfId="0" applyFont="1" applyFill="1" applyBorder="1" applyAlignment="1">
      <alignment horizontal="center" vertical="center"/>
    </xf>
    <xf numFmtId="0" fontId="20" fillId="9" borderId="11" xfId="0" applyFont="1" applyFill="1" applyBorder="1" applyAlignment="1">
      <alignment horizontal="center" vertical="center"/>
    </xf>
    <xf numFmtId="0" fontId="0" fillId="9" borderId="2" xfId="0" applyFont="1" applyFill="1" applyBorder="1" applyAlignment="1" applyProtection="1">
      <alignment vertical="center"/>
      <protection locked="0"/>
    </xf>
    <xf numFmtId="0" fontId="0" fillId="7" borderId="0" xfId="0" applyFont="1" applyFill="1" applyAlignment="1">
      <alignment vertical="center"/>
    </xf>
    <xf numFmtId="0" fontId="11" fillId="7" borderId="4" xfId="0" applyFont="1" applyFill="1" applyBorder="1" applyAlignment="1">
      <alignment horizontal="right" vertical="center"/>
    </xf>
    <xf numFmtId="181" fontId="11" fillId="7" borderId="4" xfId="0" applyNumberFormat="1" applyFont="1" applyFill="1" applyBorder="1" applyAlignment="1">
      <alignment horizontal="center" vertical="center"/>
    </xf>
    <xf numFmtId="0" fontId="0" fillId="8" borderId="2" xfId="0" applyFont="1" applyFill="1" applyBorder="1" applyAlignment="1" applyProtection="1">
      <alignment horizontal="center" vertical="center"/>
    </xf>
    <xf numFmtId="0" fontId="0" fillId="8" borderId="6" xfId="0" applyFont="1" applyFill="1" applyBorder="1" applyAlignment="1" applyProtection="1">
      <alignment horizontal="center" vertical="center"/>
    </xf>
    <xf numFmtId="0" fontId="0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0" fillId="8" borderId="2" xfId="0" applyFont="1" applyFill="1" applyBorder="1" applyAlignment="1" applyProtection="1" quotePrefix="1">
      <alignment horizontal="center" vertical="center"/>
    </xf>
    <xf numFmtId="0" fontId="0" fillId="8" borderId="6" xfId="0" applyFont="1" applyFill="1" applyBorder="1" applyAlignment="1" applyProtection="1" quotePrefix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colors>
    <mruColors>
      <color rgb="00EEC21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2400" b="0" i="0" u="none" strike="noStrike" kern="1200" spc="0" baseline="0">
                <a:solidFill>
                  <a:schemeClr val="accent4"/>
                </a:solidFill>
                <a:latin typeface="+mn-lt"/>
                <a:ea typeface="+mn-ea"/>
                <a:cs typeface="+mn-cs"/>
              </a:defRPr>
            </a:pPr>
            <a:r>
              <a:rPr lang="pt-BR" sz="2400">
                <a:solidFill>
                  <a:schemeClr val="accent4"/>
                </a:solidFill>
              </a:rPr>
              <a:t>Radar de Habilidades </a:t>
            </a:r>
            <a:endParaRPr lang="pt-BR" sz="2400">
              <a:solidFill>
                <a:schemeClr val="accent4"/>
              </a:solidFill>
            </a:endParaRPr>
          </a:p>
        </c:rich>
      </c:tx>
      <c:layout>
        <c:manualLayout>
          <c:xMode val="edge"/>
          <c:yMode val="edge"/>
          <c:x val="0.0174430706928584"/>
          <c:y val="0.022280041723802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Autoavaliação!$E$5</c:f>
              <c:strCache>
                <c:ptCount val="1"/>
                <c:pt idx="0">
                  <c:v>Régua</c:v>
                </c:pt>
              </c:strCache>
            </c:strRef>
          </c:tx>
          <c:spPr>
            <a:ln w="28575" cap="rnd">
              <a:solidFill>
                <a:schemeClr val="accent4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Autoavaliação!$E$6:$E$36</c:f>
              <c:numCache>
                <c:formatCode>General</c:formatCode>
                <c:ptCount val="31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2.5</c:v>
                </c:pt>
                <c:pt idx="16">
                  <c:v>2.5</c:v>
                </c:pt>
                <c:pt idx="17">
                  <c:v>2.5</c:v>
                </c:pt>
                <c:pt idx="18">
                  <c:v>2.5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2.5</c:v>
                </c:pt>
              </c:numCache>
            </c:numRef>
          </c:val>
        </c:ser>
        <c:ser>
          <c:idx val="7"/>
          <c:order val="1"/>
          <c:tx>
            <c:strRef>
              <c:f>Autoavaliação!$D$5</c:f>
              <c:strCache>
                <c:ptCount val="1"/>
                <c:pt idx="0">
                  <c:v>Média</c:v>
                </c:pt>
              </c:strCache>
            </c:strRef>
          </c:tx>
          <c:spPr>
            <a:ln w="28575" cap="rnd">
              <a:solidFill>
                <a:schemeClr val="accent4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Autoavaliação!$B$6:$B$38</c:f>
              <c:strCache>
                <c:ptCount val="33"/>
                <c:pt idx="0">
                  <c:v>Técnicas de testes (caixa branca, caixa preta)</c:v>
                </c:pt>
                <c:pt idx="1">
                  <c:v>Estratégia de teste</c:v>
                </c:pt>
                <c:pt idx="2">
                  <c:v>Gerenciamento e Plano de testes</c:v>
                </c:pt>
                <c:pt idx="3">
                  <c:v>Testes baseados em risco</c:v>
                </c:pt>
                <c:pt idx="4">
                  <c:v>Metodologias Ágeis ( Kanban /Scrum) </c:v>
                </c:pt>
                <c:pt idx="5">
                  <c:v>História de usuário </c:v>
                </c:pt>
                <c:pt idx="6">
                  <c:v>Critérios de aceitação</c:v>
                </c:pt>
                <c:pt idx="7">
                  <c:v>Gherkin - BDD</c:v>
                </c:pt>
                <c:pt idx="8">
                  <c:v>Métricas de testes</c:v>
                </c:pt>
                <c:pt idx="9">
                  <c:v>Ferramentas de gerenciamento de testes </c:v>
                </c:pt>
                <c:pt idx="10">
                  <c:v>Lógica de programação</c:v>
                </c:pt>
                <c:pt idx="11">
                  <c:v>Automação Frontend - WEB</c:v>
                </c:pt>
                <c:pt idx="12">
                  <c:v>Automação Backend -API</c:v>
                </c:pt>
                <c:pt idx="13">
                  <c:v>Automação Mobile</c:v>
                </c:pt>
                <c:pt idx="14">
                  <c:v>Testes de performance (Jmeter)</c:v>
                </c:pt>
                <c:pt idx="15">
                  <c:v>Banco de dados </c:v>
                </c:pt>
                <c:pt idx="16">
                  <c:v>Source control (Git)</c:v>
                </c:pt>
                <c:pt idx="17">
                  <c:v>Orquestrador (Jenkins, Gitlab, GoCd, etc)</c:v>
                </c:pt>
                <c:pt idx="18">
                  <c:v>Cultura DevOps</c:v>
                </c:pt>
                <c:pt idx="19">
                  <c:v>Sociabilidade </c:v>
                </c:pt>
                <c:pt idx="20">
                  <c:v>Organização</c:v>
                </c:pt>
                <c:pt idx="21">
                  <c:v>Autodidata</c:v>
                </c:pt>
                <c:pt idx="22">
                  <c:v>Próatividade</c:v>
                </c:pt>
                <c:pt idx="23">
                  <c:v>Resiliência</c:v>
                </c:pt>
                <c:pt idx="24">
                  <c:v>Questionador</c:v>
                </c:pt>
                <c:pt idx="25">
                  <c:v>Planejamento estratégico</c:v>
                </c:pt>
                <c:pt idx="26">
                  <c:v>Comunicação</c:v>
                </c:pt>
                <c:pt idx="27">
                  <c:v>Colaboração (time)</c:v>
                </c:pt>
                <c:pt idx="28">
                  <c:v>Flexibilidade</c:v>
                </c:pt>
                <c:pt idx="29">
                  <c:v>Ética</c:v>
                </c:pt>
                <c:pt idx="30">
                  <c:v>Desinibição</c:v>
                </c:pt>
                <c:pt idx="31">
                  <c:v>Liderança</c:v>
                </c:pt>
                <c:pt idx="32">
                  <c:v>Média do profissional</c:v>
                </c:pt>
              </c:strCache>
            </c:strRef>
          </c:cat>
          <c:val>
            <c:numRef>
              <c:f>Autoavaliação!$D$6:$D$36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4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4</c:v>
                </c:pt>
                <c:pt idx="25">
                  <c:v>2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115119"/>
        <c:axId val="221118031"/>
      </c:radarChart>
      <c:catAx>
        <c:axId val="22111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1118031"/>
        <c:crosses val="autoZero"/>
        <c:auto val="1"/>
        <c:lblAlgn val="ctr"/>
        <c:lblOffset val="100"/>
        <c:noMultiLvlLbl val="0"/>
      </c:catAx>
      <c:valAx>
        <c:axId val="22111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111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bc27eb-d71c-4c5c-bc20-c00c575480d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462372</xdr:colOff>
      <xdr:row>4</xdr:row>
      <xdr:rowOff>19691</xdr:rowOff>
    </xdr:from>
    <xdr:to>
      <xdr:col>11</xdr:col>
      <xdr:colOff>745402</xdr:colOff>
      <xdr:row>26</xdr:row>
      <xdr:rowOff>127986</xdr:rowOff>
    </xdr:to>
    <xdr:graphicFrame>
      <xdr:nvGraphicFramePr>
        <xdr:cNvPr id="2" name="Gráfico 1"/>
        <xdr:cNvGraphicFramePr/>
      </xdr:nvGraphicFramePr>
      <xdr:xfrm>
        <a:off x="6981825" y="1041400"/>
        <a:ext cx="5554980" cy="4937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511939</xdr:colOff>
      <xdr:row>3</xdr:row>
      <xdr:rowOff>128104</xdr:rowOff>
    </xdr:from>
    <xdr:to>
      <xdr:col>1</xdr:col>
      <xdr:colOff>886047</xdr:colOff>
      <xdr:row>5</xdr:row>
      <xdr:rowOff>3721</xdr:rowOff>
    </xdr:to>
    <xdr:pic>
      <xdr:nvPicPr>
        <xdr:cNvPr id="4" name="Imagem 3" descr="EBAC – Escola Britânica de Artes Criativas – Feira Pixel Show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810" y="949325"/>
          <a:ext cx="1431290" cy="904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showGridLines="0" tabSelected="1" zoomScale="80" zoomScaleNormal="80" workbookViewId="0">
      <selection activeCell="C22" sqref="C22"/>
    </sheetView>
  </sheetViews>
  <sheetFormatPr defaultColWidth="14.4285714285714" defaultRowHeight="15"/>
  <cols>
    <col min="1" max="1" width="15.8571428571429" style="34" customWidth="1"/>
    <col min="2" max="2" width="59.7142857142857" style="34" customWidth="1"/>
    <col min="3" max="3" width="9.42857142857143" style="34" customWidth="1"/>
    <col min="4" max="4" width="6.85714285714286" style="34" customWidth="1"/>
    <col min="5" max="6" width="6.42857142857143" style="34" customWidth="1"/>
    <col min="7" max="7" width="14.4285714285714" style="34" customWidth="1"/>
    <col min="8" max="16384" width="14.4285714285714" style="34"/>
  </cols>
  <sheetData>
    <row r="1" ht="18.75" spans="1:6">
      <c r="A1" s="35" t="s">
        <v>0</v>
      </c>
      <c r="B1" s="36" t="s">
        <v>1</v>
      </c>
      <c r="C1" s="37" t="s">
        <v>2</v>
      </c>
      <c r="D1" s="38"/>
      <c r="E1" s="39"/>
      <c r="F1" s="40"/>
    </row>
    <row r="3" ht="30.95" customHeight="1" spans="1:7">
      <c r="A3" s="41" t="s">
        <v>3</v>
      </c>
      <c r="B3" s="41"/>
      <c r="C3" s="41"/>
      <c r="D3" s="41"/>
      <c r="E3" s="41"/>
      <c r="F3" s="42"/>
      <c r="G3" s="42"/>
    </row>
    <row r="4" ht="15.75" customHeight="1" spans="2:12">
      <c r="B4" s="43"/>
      <c r="C4" s="43"/>
      <c r="D4" s="43"/>
      <c r="E4" s="43"/>
      <c r="F4" s="43"/>
      <c r="L4" s="43"/>
    </row>
    <row r="5" s="33" customFormat="1" ht="65.25" customHeight="1" spans="1:6">
      <c r="A5" s="44"/>
      <c r="B5" s="45"/>
      <c r="C5" s="46" t="s">
        <v>4</v>
      </c>
      <c r="D5" s="47" t="s">
        <v>5</v>
      </c>
      <c r="E5" s="47" t="s">
        <v>6</v>
      </c>
      <c r="F5" s="48"/>
    </row>
    <row r="6" customHeight="1" spans="1:5">
      <c r="A6" s="49" t="s">
        <v>7</v>
      </c>
      <c r="B6" s="50" t="s">
        <v>8</v>
      </c>
      <c r="C6" s="51">
        <v>1</v>
      </c>
      <c r="D6" s="52">
        <f>AVERAGE(C6)</f>
        <v>1</v>
      </c>
      <c r="E6" s="52">
        <v>2.5</v>
      </c>
    </row>
    <row r="7" customHeight="1" spans="1:5">
      <c r="A7" s="49"/>
      <c r="B7" s="50" t="s">
        <v>9</v>
      </c>
      <c r="C7" s="51">
        <v>1</v>
      </c>
      <c r="D7" s="52">
        <f>AVERAGE(C7:C7)</f>
        <v>1</v>
      </c>
      <c r="E7" s="52">
        <v>2.5</v>
      </c>
    </row>
    <row r="8" spans="1:5">
      <c r="A8" s="49"/>
      <c r="B8" s="50" t="s">
        <v>10</v>
      </c>
      <c r="C8" s="51">
        <v>1</v>
      </c>
      <c r="D8" s="52">
        <f t="shared" ref="D8:D36" si="0">AVERAGE(C8:C8)</f>
        <v>1</v>
      </c>
      <c r="E8" s="52">
        <v>2.5</v>
      </c>
    </row>
    <row r="9" spans="1:5">
      <c r="A9" s="49"/>
      <c r="B9" s="50" t="s">
        <v>11</v>
      </c>
      <c r="C9" s="51">
        <v>1</v>
      </c>
      <c r="D9" s="52">
        <f t="shared" si="0"/>
        <v>1</v>
      </c>
      <c r="E9" s="52">
        <v>2.5</v>
      </c>
    </row>
    <row r="10" spans="1:5">
      <c r="A10" s="49"/>
      <c r="B10" s="50" t="s">
        <v>12</v>
      </c>
      <c r="C10" s="51">
        <v>1</v>
      </c>
      <c r="D10" s="52">
        <f t="shared" si="0"/>
        <v>1</v>
      </c>
      <c r="E10" s="52">
        <v>2.5</v>
      </c>
    </row>
    <row r="11" spans="1:5">
      <c r="A11" s="49"/>
      <c r="B11" s="50" t="s">
        <v>13</v>
      </c>
      <c r="C11" s="51">
        <v>1</v>
      </c>
      <c r="D11" s="52">
        <f t="shared" si="0"/>
        <v>1</v>
      </c>
      <c r="E11" s="52">
        <v>2.5</v>
      </c>
    </row>
    <row r="12" spans="1:5">
      <c r="A12" s="49"/>
      <c r="B12" s="50" t="s">
        <v>14</v>
      </c>
      <c r="C12" s="51">
        <v>1</v>
      </c>
      <c r="D12" s="52">
        <f t="shared" si="0"/>
        <v>1</v>
      </c>
      <c r="E12" s="52">
        <v>2.5</v>
      </c>
    </row>
    <row r="13" spans="1:5">
      <c r="A13" s="49"/>
      <c r="B13" s="50" t="s">
        <v>15</v>
      </c>
      <c r="C13" s="51">
        <v>1</v>
      </c>
      <c r="D13" s="52">
        <f t="shared" si="0"/>
        <v>1</v>
      </c>
      <c r="E13" s="52">
        <v>2.5</v>
      </c>
    </row>
    <row r="14" spans="1:5">
      <c r="A14" s="49"/>
      <c r="B14" s="50" t="s">
        <v>16</v>
      </c>
      <c r="C14" s="51">
        <v>1</v>
      </c>
      <c r="D14" s="52">
        <f t="shared" si="0"/>
        <v>1</v>
      </c>
      <c r="E14" s="52">
        <v>2.5</v>
      </c>
    </row>
    <row r="15" spans="1:5">
      <c r="A15" s="49"/>
      <c r="B15" s="50" t="s">
        <v>17</v>
      </c>
      <c r="C15" s="51">
        <v>1</v>
      </c>
      <c r="D15" s="52">
        <f t="shared" si="0"/>
        <v>1</v>
      </c>
      <c r="E15" s="52">
        <v>2.5</v>
      </c>
    </row>
    <row r="16" spans="1:5">
      <c r="A16" s="49"/>
      <c r="B16" s="53" t="s">
        <v>18</v>
      </c>
      <c r="C16" s="51">
        <v>2</v>
      </c>
      <c r="D16" s="52">
        <f t="shared" si="0"/>
        <v>2</v>
      </c>
      <c r="E16" s="52">
        <v>2.5</v>
      </c>
    </row>
    <row r="17" spans="1:5">
      <c r="A17" s="49"/>
      <c r="B17" s="54" t="s">
        <v>19</v>
      </c>
      <c r="C17" s="51">
        <v>1</v>
      </c>
      <c r="D17" s="52">
        <f t="shared" si="0"/>
        <v>1</v>
      </c>
      <c r="E17" s="52">
        <v>2.5</v>
      </c>
    </row>
    <row r="18" spans="1:5">
      <c r="A18" s="49"/>
      <c r="B18" s="50" t="s">
        <v>20</v>
      </c>
      <c r="C18" s="51">
        <v>1</v>
      </c>
      <c r="D18" s="52">
        <f t="shared" si="0"/>
        <v>1</v>
      </c>
      <c r="E18" s="52">
        <v>2.5</v>
      </c>
    </row>
    <row r="19" spans="1:5">
      <c r="A19" s="49"/>
      <c r="B19" s="50" t="s">
        <v>21</v>
      </c>
      <c r="C19" s="51">
        <v>1</v>
      </c>
      <c r="D19" s="52">
        <f t="shared" si="0"/>
        <v>1</v>
      </c>
      <c r="E19" s="52">
        <v>2.5</v>
      </c>
    </row>
    <row r="20" spans="1:5">
      <c r="A20" s="49"/>
      <c r="B20" s="50" t="s">
        <v>22</v>
      </c>
      <c r="C20" s="51">
        <v>1</v>
      </c>
      <c r="D20" s="52">
        <f t="shared" si="0"/>
        <v>1</v>
      </c>
      <c r="E20" s="52">
        <v>2.5</v>
      </c>
    </row>
    <row r="21" spans="1:5">
      <c r="A21" s="49"/>
      <c r="B21" s="50" t="s">
        <v>23</v>
      </c>
      <c r="C21" s="51">
        <v>1</v>
      </c>
      <c r="D21" s="52">
        <f t="shared" si="0"/>
        <v>1</v>
      </c>
      <c r="E21" s="52">
        <v>2.5</v>
      </c>
    </row>
    <row r="22" spans="1:5">
      <c r="A22" s="49"/>
      <c r="B22" s="50" t="s">
        <v>24</v>
      </c>
      <c r="C22" s="51">
        <v>4</v>
      </c>
      <c r="D22" s="52">
        <f t="shared" si="0"/>
        <v>4</v>
      </c>
      <c r="E22" s="52">
        <v>2.5</v>
      </c>
    </row>
    <row r="23" spans="1:5">
      <c r="A23" s="49"/>
      <c r="B23" s="50" t="s">
        <v>25</v>
      </c>
      <c r="C23" s="51">
        <v>1</v>
      </c>
      <c r="D23" s="52">
        <f t="shared" si="0"/>
        <v>1</v>
      </c>
      <c r="E23" s="52">
        <v>2.5</v>
      </c>
    </row>
    <row r="24" spans="1:5">
      <c r="A24" s="49"/>
      <c r="B24" s="50" t="s">
        <v>26</v>
      </c>
      <c r="C24" s="51">
        <v>1</v>
      </c>
      <c r="D24" s="52">
        <f t="shared" si="0"/>
        <v>1</v>
      </c>
      <c r="E24" s="52">
        <v>2.5</v>
      </c>
    </row>
    <row r="25" customHeight="1" spans="1:5">
      <c r="A25" s="55" t="s">
        <v>27</v>
      </c>
      <c r="B25" s="56" t="s">
        <v>28</v>
      </c>
      <c r="C25" s="51">
        <v>3</v>
      </c>
      <c r="D25" s="52">
        <f t="shared" si="0"/>
        <v>3</v>
      </c>
      <c r="E25" s="52">
        <v>2.5</v>
      </c>
    </row>
    <row r="26" spans="1:5">
      <c r="A26" s="55"/>
      <c r="B26" s="56" t="s">
        <v>29</v>
      </c>
      <c r="C26" s="51">
        <v>3</v>
      </c>
      <c r="D26" s="52">
        <f t="shared" si="0"/>
        <v>3</v>
      </c>
      <c r="E26" s="52">
        <v>2.5</v>
      </c>
    </row>
    <row r="27" spans="1:5">
      <c r="A27" s="55"/>
      <c r="B27" s="56" t="s">
        <v>30</v>
      </c>
      <c r="C27" s="51">
        <v>4</v>
      </c>
      <c r="D27" s="52">
        <f t="shared" si="0"/>
        <v>4</v>
      </c>
      <c r="E27" s="52">
        <v>2.5</v>
      </c>
    </row>
    <row r="28" spans="1:5">
      <c r="A28" s="55"/>
      <c r="B28" s="56" t="s">
        <v>31</v>
      </c>
      <c r="C28" s="51">
        <v>3</v>
      </c>
      <c r="D28" s="52">
        <f t="shared" si="0"/>
        <v>3</v>
      </c>
      <c r="E28" s="52">
        <v>2.5</v>
      </c>
    </row>
    <row r="29" spans="1:10">
      <c r="A29" s="55"/>
      <c r="B29" s="56" t="s">
        <v>32</v>
      </c>
      <c r="C29" s="51">
        <v>3</v>
      </c>
      <c r="D29" s="52">
        <f t="shared" si="0"/>
        <v>3</v>
      </c>
      <c r="E29" s="52">
        <v>2.5</v>
      </c>
      <c r="G29" s="57" t="s">
        <v>33</v>
      </c>
      <c r="H29" s="57"/>
      <c r="I29" s="57"/>
      <c r="J29" s="57"/>
    </row>
    <row r="30" spans="1:10">
      <c r="A30" s="55"/>
      <c r="B30" s="56" t="s">
        <v>34</v>
      </c>
      <c r="C30" s="51">
        <v>4</v>
      </c>
      <c r="D30" s="52">
        <f t="shared" si="0"/>
        <v>4</v>
      </c>
      <c r="E30" s="52">
        <v>2.5</v>
      </c>
      <c r="G30" s="58" t="s">
        <v>35</v>
      </c>
      <c r="H30" s="59" t="s">
        <v>36</v>
      </c>
      <c r="I30" s="59" t="s">
        <v>37</v>
      </c>
      <c r="J30" s="59" t="s">
        <v>38</v>
      </c>
    </row>
    <row r="31" spans="1:5">
      <c r="A31" s="55"/>
      <c r="B31" s="56" t="s">
        <v>39</v>
      </c>
      <c r="C31" s="51">
        <v>2</v>
      </c>
      <c r="D31" s="52">
        <f t="shared" si="0"/>
        <v>2</v>
      </c>
      <c r="E31" s="52">
        <v>2.5</v>
      </c>
    </row>
    <row r="32" spans="1:5">
      <c r="A32" s="55"/>
      <c r="B32" s="56" t="s">
        <v>40</v>
      </c>
      <c r="C32" s="51">
        <v>4</v>
      </c>
      <c r="D32" s="52">
        <f t="shared" si="0"/>
        <v>4</v>
      </c>
      <c r="E32" s="52">
        <v>2.5</v>
      </c>
    </row>
    <row r="33" spans="1:5">
      <c r="A33" s="55"/>
      <c r="B33" s="56" t="s">
        <v>41</v>
      </c>
      <c r="C33" s="51">
        <v>4</v>
      </c>
      <c r="D33" s="52">
        <f t="shared" si="0"/>
        <v>4</v>
      </c>
      <c r="E33" s="52">
        <v>2.5</v>
      </c>
    </row>
    <row r="34" spans="1:5">
      <c r="A34" s="55"/>
      <c r="B34" s="56" t="s">
        <v>42</v>
      </c>
      <c r="C34" s="51">
        <v>4</v>
      </c>
      <c r="D34" s="52">
        <f t="shared" si="0"/>
        <v>4</v>
      </c>
      <c r="E34" s="52">
        <v>2.5</v>
      </c>
    </row>
    <row r="35" spans="1:5">
      <c r="A35" s="55"/>
      <c r="B35" s="60" t="s">
        <v>43</v>
      </c>
      <c r="C35" s="51">
        <v>4</v>
      </c>
      <c r="D35" s="52">
        <f t="shared" si="0"/>
        <v>4</v>
      </c>
      <c r="E35" s="52">
        <v>2.5</v>
      </c>
    </row>
    <row r="36" spans="1:5">
      <c r="A36" s="55"/>
      <c r="B36" s="60" t="s">
        <v>44</v>
      </c>
      <c r="C36" s="51">
        <v>4</v>
      </c>
      <c r="D36" s="52">
        <f t="shared" si="0"/>
        <v>4</v>
      </c>
      <c r="E36" s="52">
        <v>2.5</v>
      </c>
    </row>
    <row r="37" spans="1:5">
      <c r="A37" s="55"/>
      <c r="B37" s="60" t="s">
        <v>45</v>
      </c>
      <c r="C37" s="51">
        <v>2</v>
      </c>
      <c r="D37" s="52">
        <f t="shared" ref="D37" si="1">AVERAGE(C37:C37)</f>
        <v>2</v>
      </c>
      <c r="E37" s="52">
        <v>2.5</v>
      </c>
    </row>
    <row r="38" spans="1:5">
      <c r="A38" s="61"/>
      <c r="B38" s="62" t="s">
        <v>46</v>
      </c>
      <c r="C38" s="63">
        <f>AVERAGE(C6:C37)</f>
        <v>2.09375</v>
      </c>
      <c r="D38" s="68" t="s">
        <v>47</v>
      </c>
      <c r="E38" s="69" t="s">
        <v>47</v>
      </c>
    </row>
    <row r="39" spans="3:5">
      <c r="C39" s="66"/>
      <c r="D39" s="66"/>
      <c r="E39" s="66"/>
    </row>
    <row r="40" spans="2:5">
      <c r="B40" s="67"/>
      <c r="C40" s="66"/>
      <c r="D40" s="66"/>
      <c r="E40" s="66"/>
    </row>
    <row r="41" spans="3:5">
      <c r="C41" s="66"/>
      <c r="D41" s="66"/>
      <c r="E41" s="66"/>
    </row>
  </sheetData>
  <sheetProtection sheet="1" objects="1" scenarios="1"/>
  <mergeCells count="5">
    <mergeCell ref="D1:F1"/>
    <mergeCell ref="A3:E3"/>
    <mergeCell ref="G29:J29"/>
    <mergeCell ref="A6:A24"/>
    <mergeCell ref="A25:A37"/>
  </mergeCells>
  <dataValidations count="2">
    <dataValidation type="list" allowBlank="1" showInputMessage="1" showErrorMessage="1" sqref="C38">
      <formula1>"1,2,3,4,5"</formula1>
    </dataValidation>
    <dataValidation type="whole" operator="between" allowBlank="1" showInputMessage="1" showErrorMessage="1" promptTitle="Preencha de 1 a 4" prompt="1. Não sei&#10;2. Sei pouco&#10;3. Sei o suficiente&#10;4. Sei bem" sqref="C6:C37">
      <formula1>1</formula1>
      <formula2>4</formula2>
    </dataValidation>
  </dataValidations>
  <pageMargins left="0.511811024" right="0.511811024" top="0.787401575" bottom="0.787401575" header="0.31496062" footer="0.31496062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93"/>
  <sheetViews>
    <sheetView zoomScale="77" zoomScaleNormal="77" topLeftCell="A9" workbookViewId="0">
      <selection activeCell="A31" sqref="A31:H31"/>
    </sheetView>
  </sheetViews>
  <sheetFormatPr defaultColWidth="10.8571428571429" defaultRowHeight="15.75"/>
  <cols>
    <col min="1" max="1" width="12" style="1" customWidth="1"/>
    <col min="2" max="2" width="27.4285714285714" style="1" customWidth="1"/>
    <col min="3" max="3" width="25.2857142857143" style="1" customWidth="1"/>
    <col min="4" max="4" width="22.7142857142857" style="1" customWidth="1"/>
    <col min="5" max="5" width="17.1428571428571" style="1" customWidth="1"/>
    <col min="6" max="6" width="14.8571428571429" style="1" customWidth="1"/>
    <col min="7" max="7" width="17.7142857142857" style="1" customWidth="1"/>
    <col min="8" max="8" width="25.4285714285714" style="1" customWidth="1"/>
    <col min="9" max="9" width="16.4285714285714" style="1" customWidth="1"/>
    <col min="10" max="10" width="10.8571428571429" style="1"/>
    <col min="11" max="11" width="13" style="1" customWidth="1"/>
    <col min="12" max="16384" width="10.8571428571429" style="1"/>
  </cols>
  <sheetData>
    <row r="1" ht="57.95" customHeight="1" spans="1:27">
      <c r="A1" s="2" t="s">
        <v>48</v>
      </c>
      <c r="B1" s="2"/>
      <c r="C1" s="2"/>
      <c r="D1" s="2"/>
      <c r="E1" s="2"/>
      <c r="F1" s="2"/>
      <c r="G1" s="2"/>
      <c r="H1" s="2"/>
      <c r="I1" s="25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1">
      <c r="A2" s="3"/>
      <c r="B2" s="4"/>
      <c r="C2" s="4"/>
      <c r="D2" s="4"/>
      <c r="E2" s="4"/>
      <c r="F2" s="4"/>
      <c r="G2" s="4"/>
      <c r="H2" s="4"/>
      <c r="I2" s="26"/>
      <c r="J2" s="9"/>
      <c r="M2" s="9"/>
      <c r="N2" s="9"/>
      <c r="O2" s="9"/>
      <c r="P2" s="9"/>
      <c r="Q2" s="9"/>
      <c r="R2" s="9"/>
      <c r="S2" s="9"/>
      <c r="T2" s="9"/>
      <c r="U2" s="9"/>
    </row>
    <row r="3" spans="1:27">
      <c r="A3" s="5" t="s">
        <v>49</v>
      </c>
      <c r="B3" s="5" t="s">
        <v>50</v>
      </c>
      <c r="C3" s="5" t="s">
        <v>51</v>
      </c>
      <c r="D3" s="5" t="s">
        <v>52</v>
      </c>
      <c r="E3" s="5" t="s">
        <v>53</v>
      </c>
      <c r="F3" s="5"/>
      <c r="G3" s="5" t="s">
        <v>54</v>
      </c>
      <c r="H3" s="5" t="s">
        <v>55</v>
      </c>
      <c r="I3" s="27" t="s">
        <v>56</v>
      </c>
      <c r="J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>
      <c r="A4" s="5"/>
      <c r="B4" s="5"/>
      <c r="C4" s="5"/>
      <c r="D4" s="5"/>
      <c r="E4" s="5" t="s">
        <v>57</v>
      </c>
      <c r="F4" s="5" t="s">
        <v>58</v>
      </c>
      <c r="G4" s="5"/>
      <c r="H4" s="5"/>
      <c r="I4" s="27"/>
      <c r="J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45" spans="1:27">
      <c r="A5" s="6">
        <v>1</v>
      </c>
      <c r="B5" s="7" t="s">
        <v>59</v>
      </c>
      <c r="C5" s="7" t="s">
        <v>60</v>
      </c>
      <c r="D5" s="7" t="s">
        <v>61</v>
      </c>
      <c r="E5" s="8">
        <v>45743</v>
      </c>
      <c r="F5" s="8">
        <v>45835</v>
      </c>
      <c r="G5" s="7" t="s">
        <v>62</v>
      </c>
      <c r="H5" s="7" t="s">
        <v>63</v>
      </c>
      <c r="I5" s="28">
        <v>0</v>
      </c>
      <c r="J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ht="120" spans="1:27">
      <c r="A6" s="6">
        <v>2</v>
      </c>
      <c r="B6" s="7" t="s">
        <v>64</v>
      </c>
      <c r="C6" s="7" t="s">
        <v>65</v>
      </c>
      <c r="D6" s="7" t="s">
        <v>66</v>
      </c>
      <c r="E6" s="8">
        <v>45743</v>
      </c>
      <c r="F6" s="8">
        <v>45835</v>
      </c>
      <c r="G6" s="7" t="s">
        <v>62</v>
      </c>
      <c r="H6" s="7" t="s">
        <v>67</v>
      </c>
      <c r="I6" s="28">
        <v>0</v>
      </c>
      <c r="J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105" spans="1:27">
      <c r="A7" s="6">
        <v>3</v>
      </c>
      <c r="B7" s="7" t="s">
        <v>68</v>
      </c>
      <c r="C7" s="7" t="s">
        <v>69</v>
      </c>
      <c r="D7" s="7" t="s">
        <v>70</v>
      </c>
      <c r="E7" s="8">
        <v>45743</v>
      </c>
      <c r="F7" s="8">
        <v>45835</v>
      </c>
      <c r="G7" s="7" t="s">
        <v>62</v>
      </c>
      <c r="H7" s="7" t="s">
        <v>71</v>
      </c>
      <c r="I7" s="28">
        <v>0</v>
      </c>
      <c r="J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ht="135" spans="1:27">
      <c r="A8" s="6">
        <v>4</v>
      </c>
      <c r="B8" s="7" t="s">
        <v>72</v>
      </c>
      <c r="C8" s="7" t="s">
        <v>73</v>
      </c>
      <c r="D8" s="7" t="s">
        <v>74</v>
      </c>
      <c r="E8" s="8">
        <v>45743</v>
      </c>
      <c r="F8" s="8">
        <v>46108</v>
      </c>
      <c r="G8" s="7" t="s">
        <v>62</v>
      </c>
      <c r="H8" s="7" t="s">
        <v>75</v>
      </c>
      <c r="I8" s="28">
        <v>0</v>
      </c>
      <c r="J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>
      <c r="A9" s="6"/>
      <c r="B9" s="7"/>
      <c r="C9" s="7"/>
      <c r="D9" s="7"/>
      <c r="E9" s="8"/>
      <c r="F9" s="8"/>
      <c r="G9" s="7"/>
      <c r="H9" s="7"/>
      <c r="I9" s="28"/>
      <c r="J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>
      <c r="A10" s="6"/>
      <c r="B10" s="7"/>
      <c r="C10" s="7"/>
      <c r="D10" s="7"/>
      <c r="E10" s="8"/>
      <c r="F10" s="8"/>
      <c r="G10" s="7"/>
      <c r="H10" s="7"/>
      <c r="I10" s="28"/>
      <c r="J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>
      <c r="A11" s="3"/>
      <c r="B11" s="4"/>
      <c r="C11" s="4"/>
      <c r="D11" s="4"/>
      <c r="E11" s="4"/>
      <c r="F11" s="4"/>
      <c r="G11" s="4"/>
      <c r="H11" s="4"/>
      <c r="I11" s="26"/>
      <c r="J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2:27">
      <c r="B12" s="9"/>
      <c r="C12" s="9"/>
      <c r="D12" s="9"/>
      <c r="E12" s="9"/>
      <c r="F12" s="9"/>
      <c r="G12" s="9"/>
      <c r="H12" s="9"/>
      <c r="I12" s="9"/>
      <c r="J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>
      <c r="A13" s="10" t="s">
        <v>76</v>
      </c>
      <c r="B13" s="9"/>
      <c r="C13" s="9"/>
      <c r="D13" s="9" t="s">
        <v>77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>
      <c r="A14" s="11" t="s">
        <v>78</v>
      </c>
      <c r="B14" s="12" t="s">
        <v>79</v>
      </c>
      <c r="C14" s="12"/>
      <c r="D14" s="12"/>
      <c r="E14" s="12"/>
      <c r="F14" s="12"/>
      <c r="G14" s="12"/>
      <c r="H14" s="12"/>
      <c r="I14" s="12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>
      <c r="A15" s="11" t="s">
        <v>80</v>
      </c>
      <c r="B15" s="12" t="s">
        <v>81</v>
      </c>
      <c r="C15" s="12"/>
      <c r="D15" s="12"/>
      <c r="E15" s="12"/>
      <c r="F15" s="12"/>
      <c r="G15" s="12"/>
      <c r="H15" s="12"/>
      <c r="I15" s="12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>
      <c r="A16" s="11" t="s">
        <v>82</v>
      </c>
      <c r="B16" s="12" t="s">
        <v>83</v>
      </c>
      <c r="C16" s="12"/>
      <c r="D16" s="12"/>
      <c r="E16" s="12"/>
      <c r="F16" s="12"/>
      <c r="G16" s="12"/>
      <c r="H16" s="12"/>
      <c r="I16" s="12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>
      <c r="A17" s="11" t="s">
        <v>84</v>
      </c>
      <c r="B17" s="12" t="s">
        <v>85</v>
      </c>
      <c r="C17" s="12"/>
      <c r="D17" s="12"/>
      <c r="E17" s="12"/>
      <c r="F17" s="12"/>
      <c r="G17" s="12"/>
      <c r="H17" s="12"/>
      <c r="I17" s="12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>
      <c r="A18" s="11" t="s">
        <v>86</v>
      </c>
      <c r="B18" s="12" t="s">
        <v>87</v>
      </c>
      <c r="C18" s="12"/>
      <c r="D18" s="12"/>
      <c r="E18" s="12"/>
      <c r="F18" s="12"/>
      <c r="G18" s="12"/>
      <c r="H18" s="12"/>
      <c r="I18" s="12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>
      <c r="A19" s="11" t="s">
        <v>88</v>
      </c>
      <c r="B19" s="12" t="s">
        <v>89</v>
      </c>
      <c r="C19" s="12"/>
      <c r="D19" s="12"/>
      <c r="E19" s="12"/>
      <c r="F19" s="12"/>
      <c r="G19" s="12"/>
      <c r="H19" s="12"/>
      <c r="I19" s="12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>
      <c r="A20" s="11" t="s">
        <v>90</v>
      </c>
      <c r="B20" s="12" t="s">
        <v>91</v>
      </c>
      <c r="C20" s="12"/>
      <c r="D20" s="12"/>
      <c r="E20" s="12"/>
      <c r="F20" s="12"/>
      <c r="G20" s="12"/>
      <c r="H20" s="12"/>
      <c r="I20" s="12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>
      <c r="A23" s="10" t="s">
        <v>92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>
      <c r="A24" s="13"/>
      <c r="B24" s="14"/>
      <c r="C24" s="15"/>
      <c r="D24" s="15"/>
      <c r="E24" s="15"/>
      <c r="F24" s="15"/>
      <c r="G24" s="15"/>
      <c r="H24" s="15"/>
      <c r="I24" s="2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>
      <c r="A25" s="16" t="s">
        <v>49</v>
      </c>
      <c r="B25" s="16" t="s">
        <v>50</v>
      </c>
      <c r="C25" s="16" t="s">
        <v>51</v>
      </c>
      <c r="D25" s="16" t="s">
        <v>52</v>
      </c>
      <c r="E25" s="17" t="s">
        <v>53</v>
      </c>
      <c r="F25" s="18"/>
      <c r="G25" s="16" t="s">
        <v>54</v>
      </c>
      <c r="H25" s="16" t="s">
        <v>55</v>
      </c>
      <c r="I25" s="30" t="s">
        <v>56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>
      <c r="A26" s="19"/>
      <c r="B26" s="19"/>
      <c r="C26" s="19"/>
      <c r="D26" s="19"/>
      <c r="E26" s="20" t="s">
        <v>57</v>
      </c>
      <c r="F26" s="20" t="s">
        <v>58</v>
      </c>
      <c r="G26" s="19"/>
      <c r="H26" s="19"/>
      <c r="I26" s="31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ht="75" spans="1:27">
      <c r="A27" s="21">
        <v>1</v>
      </c>
      <c r="B27" s="22" t="s">
        <v>93</v>
      </c>
      <c r="C27" s="22" t="s">
        <v>94</v>
      </c>
      <c r="D27" s="22" t="s">
        <v>95</v>
      </c>
      <c r="E27" s="23">
        <v>44423</v>
      </c>
      <c r="F27" s="23">
        <v>44515</v>
      </c>
      <c r="G27" s="22" t="s">
        <v>62</v>
      </c>
      <c r="H27" s="22" t="s">
        <v>96</v>
      </c>
      <c r="I27" s="32">
        <v>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>
      <c r="A28" s="3"/>
      <c r="B28" s="4"/>
      <c r="C28" s="4"/>
      <c r="D28" s="4"/>
      <c r="E28" s="4"/>
      <c r="F28" s="4"/>
      <c r="G28" s="4"/>
      <c r="H28" s="4"/>
      <c r="I28" s="26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>
      <c r="A30" s="24" t="s">
        <v>97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>
      <c r="A31" s="12" t="s">
        <v>98</v>
      </c>
      <c r="B31" s="12"/>
      <c r="C31" s="12"/>
      <c r="D31" s="12"/>
      <c r="E31" s="12"/>
      <c r="F31" s="12"/>
      <c r="G31" s="12"/>
      <c r="H31" s="1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>
      <c r="A32" s="12" t="s">
        <v>99</v>
      </c>
      <c r="B32" s="12"/>
      <c r="C32" s="12"/>
      <c r="D32" s="12"/>
      <c r="E32" s="12"/>
      <c r="F32" s="12"/>
      <c r="G32" s="12"/>
      <c r="H32" s="1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>
      <c r="A33" s="12" t="s">
        <v>100</v>
      </c>
      <c r="B33" s="12"/>
      <c r="C33" s="12"/>
      <c r="D33" s="12"/>
      <c r="E33" s="12"/>
      <c r="F33" s="12"/>
      <c r="G33" s="12"/>
      <c r="H33" s="1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>
      <c r="A34" s="12" t="s">
        <v>101</v>
      </c>
      <c r="B34" s="12"/>
      <c r="C34" s="12"/>
      <c r="D34" s="12"/>
      <c r="E34" s="12"/>
      <c r="F34" s="12"/>
      <c r="G34" s="12"/>
      <c r="H34" s="1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</sheetData>
  <mergeCells count="32">
    <mergeCell ref="A1:I1"/>
    <mergeCell ref="A2:I2"/>
    <mergeCell ref="E3:F3"/>
    <mergeCell ref="A11:I11"/>
    <mergeCell ref="B14:I14"/>
    <mergeCell ref="B15:I15"/>
    <mergeCell ref="B16:I16"/>
    <mergeCell ref="B17:I17"/>
    <mergeCell ref="B18:I18"/>
    <mergeCell ref="B19:I19"/>
    <mergeCell ref="B20:I20"/>
    <mergeCell ref="B24:I24"/>
    <mergeCell ref="E25:F25"/>
    <mergeCell ref="A28:I28"/>
    <mergeCell ref="A31:H31"/>
    <mergeCell ref="A32:H32"/>
    <mergeCell ref="A33:H33"/>
    <mergeCell ref="A34:H34"/>
    <mergeCell ref="A3:A4"/>
    <mergeCell ref="A25:A26"/>
    <mergeCell ref="B3:B4"/>
    <mergeCell ref="B25:B26"/>
    <mergeCell ref="C3:C4"/>
    <mergeCell ref="C25:C26"/>
    <mergeCell ref="D3:D4"/>
    <mergeCell ref="D25:D26"/>
    <mergeCell ref="G3:G4"/>
    <mergeCell ref="G25:G26"/>
    <mergeCell ref="H3:H4"/>
    <mergeCell ref="H25:H26"/>
    <mergeCell ref="I3:I4"/>
    <mergeCell ref="I25:I26"/>
  </mergeCells>
  <pageMargins left="0.511811024" right="0.511811024" top="0.787401575" bottom="0.787401575" header="0.31496062" footer="0.31496062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Autoavaliação</vt:lpstr>
      <vt:lpstr>PDI -5w2h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FONSECA Leandro Rodrigues</dc:creator>
  <cp:lastModifiedBy>Kauan Lima da Rosa</cp:lastModifiedBy>
  <dcterms:created xsi:type="dcterms:W3CDTF">2018-05-08T12:52:00Z</dcterms:created>
  <dcterms:modified xsi:type="dcterms:W3CDTF">2025-11-06T12:30:32Z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9CC13B92F1B148E28CE18835C0ECB1F2_12</vt:lpwstr>
  </property>
  <property fmtid="{D5CDD505-2E9C-101B-9397-08002B2CF9AE}" pid="3" name="KSOProductBuildVer">
    <vt:lpwstr>1046-12.2.0.23131</vt:lpwstr>
  </property>
</Properties>
</file>